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</calcChain>
</file>

<file path=xl/sharedStrings.xml><?xml version="1.0" encoding="utf-8"?>
<sst xmlns="http://schemas.openxmlformats.org/spreadsheetml/2006/main" count="8" uniqueCount="8">
  <si>
    <t>Размер ставки по ипотеке (%)</t>
  </si>
  <si>
    <t>Уровень инфляции (%)</t>
  </si>
  <si>
    <t>Количество м2 жилья на душу населения (м2/чел.)</t>
  </si>
  <si>
    <t>Средняя стоимость м2 жилья (рублей)</t>
  </si>
  <si>
    <t>Средняя зарплата ( рублей)</t>
  </si>
  <si>
    <t>Средняя стоимость строительст ва (руб.)</t>
  </si>
  <si>
    <t>Количество семей, улучшивших жилищное положение (чел.)</t>
  </si>
  <si>
    <t>Количество м2 жилья, введенного в эксплуатацию (млн,м2)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</si>
</sst>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Arial"/>
      <family val="2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u/>
      <sz val="10"/>
      <color indexed="12"/>
      <name val="Arial Cyr"/>
      <charset val="204"/>
    </font>
    <font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0">
    <xf numFmtId="0" fontId="0" fillId="0" borderId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/>
    <xf numFmtId="0" fontId="8" fillId="0" borderId="2" applyNumberFormat="0" applyFill="0" applyProtection="0">
      <alignment horizontal="left" vertical="top" wrapText="1"/>
    </xf>
    <xf numFmtId="0" fontId="9" fillId="0" borderId="0">
      <protection locked="0"/>
    </xf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2" fillId="0" borderId="0">
      <protection locked="0"/>
    </xf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/>
    </xf>
    <xf numFmtId="0" fontId="5" fillId="2" borderId="1" xfId="8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11" fillId="0" borderId="1" xfId="9" applyFont="1" applyBorder="1" applyAlignment="1">
      <alignment horizontal="center"/>
    </xf>
    <xf numFmtId="1" fontId="11" fillId="0" borderId="1" xfId="9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</cellXfs>
  <cellStyles count="20">
    <cellStyle name="Comma" xfId="5"/>
    <cellStyle name="Comma [0]" xfId="6"/>
    <cellStyle name="Currency" xfId="3"/>
    <cellStyle name="Currency [0]" xfId="4"/>
    <cellStyle name="m49048872" xfId="10"/>
    <cellStyle name="Normal" xfId="7"/>
    <cellStyle name="Normal 2" xfId="11"/>
    <cellStyle name="Normal 3" xfId="19"/>
    <cellStyle name="Percent" xfId="2"/>
    <cellStyle name="Гиперссылка 2" xfId="17"/>
    <cellStyle name="Обычный" xfId="0" builtinId="0"/>
    <cellStyle name="Обычный 2" xfId="1"/>
    <cellStyle name="Обычный 2 2" xfId="13"/>
    <cellStyle name="Обычный 2 3" xfId="16"/>
    <cellStyle name="Обычный 2 4" xfId="12"/>
    <cellStyle name="Обычный 3" xfId="9"/>
    <cellStyle name="Обычный 4" xfId="18"/>
    <cellStyle name="Обычный 5" xfId="8"/>
    <cellStyle name="Процентный 2" xfId="14"/>
    <cellStyle name="Процентный 2 2" xf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30"/>
  <sheetViews>
    <sheetView tabSelected="1" topLeftCell="A7" zoomScale="70" zoomScaleNormal="70" workbookViewId="0">
      <selection activeCell="R16" sqref="R16"/>
    </sheetView>
  </sheetViews>
  <sheetFormatPr defaultRowHeight="14.4" x14ac:dyDescent="0.3"/>
  <cols>
    <col min="4" max="4" width="7.21875" customWidth="1"/>
    <col min="5" max="5" width="22" customWidth="1"/>
    <col min="6" max="6" width="21.21875" customWidth="1"/>
    <col min="7" max="7" width="18.44140625" customWidth="1"/>
    <col min="8" max="8" width="18.6640625" customWidth="1"/>
    <col min="9" max="9" width="12.44140625" customWidth="1"/>
    <col min="10" max="10" width="17.21875" customWidth="1"/>
    <col min="11" max="11" width="21" customWidth="1"/>
    <col min="12" max="12" width="14.77734375" customWidth="1"/>
    <col min="13" max="13" width="12.77734375" customWidth="1"/>
  </cols>
  <sheetData>
    <row r="1" spans="5:13" ht="15.6" x14ac:dyDescent="0.3">
      <c r="F1" s="1"/>
    </row>
    <row r="8" spans="5:13" ht="93.6" x14ac:dyDescent="0.3">
      <c r="E8" s="9"/>
      <c r="F8" s="2" t="s">
        <v>3</v>
      </c>
      <c r="G8" s="2" t="s">
        <v>0</v>
      </c>
      <c r="H8" s="2" t="s">
        <v>4</v>
      </c>
      <c r="I8" s="2" t="s">
        <v>1</v>
      </c>
      <c r="J8" s="8" t="s">
        <v>2</v>
      </c>
      <c r="K8" s="2" t="s">
        <v>7</v>
      </c>
      <c r="L8" s="2" t="s">
        <v>6</v>
      </c>
      <c r="M8" s="2" t="s">
        <v>5</v>
      </c>
    </row>
    <row r="9" spans="5:13" ht="15.6" x14ac:dyDescent="0.3">
      <c r="E9" s="5">
        <v>2000</v>
      </c>
      <c r="F9" s="3">
        <v>8678</v>
      </c>
      <c r="G9" s="5">
        <v>30</v>
      </c>
      <c r="H9" s="5">
        <v>2223</v>
      </c>
      <c r="I9" s="5">
        <v>20.100000000000001</v>
      </c>
      <c r="J9" s="5">
        <v>19.2</v>
      </c>
      <c r="K9" s="5">
        <v>30.3</v>
      </c>
      <c r="L9" s="5">
        <v>253000</v>
      </c>
      <c r="M9" s="5">
        <v>4369</v>
      </c>
    </row>
    <row r="10" spans="5:13" ht="15.6" x14ac:dyDescent="0.3">
      <c r="E10" s="5">
        <f>E9+1</f>
        <v>2001</v>
      </c>
      <c r="F10" s="3">
        <v>10567</v>
      </c>
      <c r="G10" s="5">
        <v>24.6</v>
      </c>
      <c r="H10" s="5">
        <v>3240</v>
      </c>
      <c r="I10" s="5">
        <v>18.8</v>
      </c>
      <c r="J10" s="5">
        <v>19.399999999999999</v>
      </c>
      <c r="K10" s="5">
        <v>31.7</v>
      </c>
      <c r="L10" s="5">
        <v>242000</v>
      </c>
      <c r="M10" s="5">
        <v>5279</v>
      </c>
    </row>
    <row r="11" spans="5:13" ht="15.6" x14ac:dyDescent="0.3">
      <c r="E11" s="5">
        <f t="shared" ref="E11:E30" si="0">E10+1</f>
        <v>2002</v>
      </c>
      <c r="F11" s="3">
        <v>12939</v>
      </c>
      <c r="G11" s="5">
        <v>20.100000000000001</v>
      </c>
      <c r="H11" s="5">
        <v>4360</v>
      </c>
      <c r="I11" s="5">
        <v>15.06</v>
      </c>
      <c r="J11" s="5">
        <v>19.399999999999999</v>
      </c>
      <c r="K11" s="5">
        <v>33.799999999999997</v>
      </c>
      <c r="L11" s="5">
        <v>229000</v>
      </c>
      <c r="M11" s="5">
        <v>6367</v>
      </c>
    </row>
    <row r="12" spans="5:13" ht="15.6" x14ac:dyDescent="0.3">
      <c r="E12" s="5">
        <f t="shared" si="0"/>
        <v>2003</v>
      </c>
      <c r="F12" s="3">
        <v>16320</v>
      </c>
      <c r="G12" s="5">
        <v>19.3</v>
      </c>
      <c r="H12" s="5">
        <v>5499</v>
      </c>
      <c r="I12" s="5">
        <v>11.99</v>
      </c>
      <c r="J12" s="5">
        <v>19.7</v>
      </c>
      <c r="K12" s="5">
        <v>36.4</v>
      </c>
      <c r="L12" s="5">
        <v>227000</v>
      </c>
      <c r="M12" s="5">
        <v>7690</v>
      </c>
    </row>
    <row r="13" spans="5:13" ht="15.6" x14ac:dyDescent="0.3">
      <c r="E13" s="5">
        <f t="shared" si="0"/>
        <v>2004</v>
      </c>
      <c r="F13" s="3">
        <v>20810</v>
      </c>
      <c r="G13" s="5">
        <v>16.8</v>
      </c>
      <c r="H13" s="5">
        <v>6740</v>
      </c>
      <c r="I13" s="5">
        <v>11.74</v>
      </c>
      <c r="J13" s="5">
        <v>20.100000000000001</v>
      </c>
      <c r="K13" s="5">
        <v>41</v>
      </c>
      <c r="L13" s="5">
        <v>229000</v>
      </c>
      <c r="M13" s="5">
        <v>9984</v>
      </c>
    </row>
    <row r="14" spans="5:13" ht="15.6" x14ac:dyDescent="0.3">
      <c r="E14" s="5">
        <f t="shared" si="0"/>
        <v>2005</v>
      </c>
      <c r="F14" s="3">
        <v>25394</v>
      </c>
      <c r="G14" s="5">
        <v>13.1</v>
      </c>
      <c r="H14" s="5">
        <v>8555</v>
      </c>
      <c r="I14" s="5">
        <v>10.91</v>
      </c>
      <c r="J14" s="4">
        <v>20.8</v>
      </c>
      <c r="K14" s="5">
        <v>43.6</v>
      </c>
      <c r="L14" s="5">
        <v>151000</v>
      </c>
      <c r="M14" s="5">
        <v>11705</v>
      </c>
    </row>
    <row r="15" spans="5:13" ht="15.6" x14ac:dyDescent="0.3">
      <c r="E15" s="5">
        <f t="shared" si="0"/>
        <v>2006</v>
      </c>
      <c r="F15" s="3">
        <v>36221</v>
      </c>
      <c r="G15" s="5">
        <v>14.9</v>
      </c>
      <c r="H15" s="5">
        <v>10634</v>
      </c>
      <c r="I15" s="5">
        <v>9</v>
      </c>
      <c r="J15" s="5">
        <v>21</v>
      </c>
      <c r="K15" s="5">
        <v>50.6</v>
      </c>
      <c r="L15" s="5">
        <v>139000</v>
      </c>
      <c r="M15" s="5">
        <v>16661</v>
      </c>
    </row>
    <row r="16" spans="5:13" ht="15.6" x14ac:dyDescent="0.3">
      <c r="E16" s="5">
        <f t="shared" si="0"/>
        <v>2007</v>
      </c>
      <c r="F16" s="3">
        <v>47482</v>
      </c>
      <c r="G16" s="5">
        <v>12.6</v>
      </c>
      <c r="H16" s="5">
        <v>13593</v>
      </c>
      <c r="I16" s="5">
        <v>11.87</v>
      </c>
      <c r="J16" s="5">
        <v>21.4</v>
      </c>
      <c r="K16" s="5">
        <v>61.2</v>
      </c>
      <c r="L16" s="5">
        <v>140000</v>
      </c>
      <c r="M16" s="5">
        <v>20645</v>
      </c>
    </row>
    <row r="17" spans="5:13" ht="15.6" x14ac:dyDescent="0.3">
      <c r="E17" s="5">
        <f t="shared" si="0"/>
        <v>2008</v>
      </c>
      <c r="F17" s="3">
        <v>52504</v>
      </c>
      <c r="G17" s="5">
        <v>12.4</v>
      </c>
      <c r="H17" s="5">
        <v>17290</v>
      </c>
      <c r="I17" s="5">
        <v>13.28</v>
      </c>
      <c r="J17" s="5">
        <v>21.8</v>
      </c>
      <c r="K17" s="5">
        <v>64.099999999999994</v>
      </c>
      <c r="L17" s="5">
        <v>144000</v>
      </c>
      <c r="M17" s="5">
        <v>24567</v>
      </c>
    </row>
    <row r="18" spans="5:13" ht="15.6" x14ac:dyDescent="0.3">
      <c r="E18" s="5">
        <f t="shared" si="0"/>
        <v>2009</v>
      </c>
      <c r="F18" s="3">
        <v>47715</v>
      </c>
      <c r="G18" s="5">
        <v>14.83</v>
      </c>
      <c r="H18" s="5">
        <v>18638</v>
      </c>
      <c r="I18" s="5">
        <v>8.8000000000000007</v>
      </c>
      <c r="J18" s="5">
        <v>22.2</v>
      </c>
      <c r="K18" s="5">
        <v>59.9</v>
      </c>
      <c r="L18" s="5">
        <v>147000</v>
      </c>
      <c r="M18" s="5">
        <v>27890</v>
      </c>
    </row>
    <row r="19" spans="5:13" ht="15.6" x14ac:dyDescent="0.3">
      <c r="E19" s="5">
        <f t="shared" si="0"/>
        <v>2010</v>
      </c>
      <c r="F19" s="3">
        <v>48144</v>
      </c>
      <c r="G19" s="5">
        <v>16.72</v>
      </c>
      <c r="H19" s="5">
        <v>20952</v>
      </c>
      <c r="I19" s="5">
        <v>8.7799999999999994</v>
      </c>
      <c r="J19" s="5">
        <v>22.6</v>
      </c>
      <c r="K19" s="5">
        <v>58.4</v>
      </c>
      <c r="L19" s="5">
        <v>244000</v>
      </c>
      <c r="M19" s="5">
        <v>31877</v>
      </c>
    </row>
    <row r="20" spans="5:13" ht="15.6" x14ac:dyDescent="0.3">
      <c r="E20" s="5">
        <f t="shared" si="0"/>
        <v>2011</v>
      </c>
      <c r="F20" s="3">
        <v>43686</v>
      </c>
      <c r="G20" s="5">
        <v>11.4</v>
      </c>
      <c r="H20" s="5">
        <v>23369</v>
      </c>
      <c r="I20" s="5">
        <v>6.1</v>
      </c>
      <c r="J20" s="5">
        <v>23</v>
      </c>
      <c r="K20" s="5">
        <v>62.3</v>
      </c>
      <c r="L20" s="5">
        <v>181000</v>
      </c>
      <c r="M20" s="5">
        <v>33320</v>
      </c>
    </row>
    <row r="21" spans="5:13" ht="15.6" x14ac:dyDescent="0.3">
      <c r="E21" s="5">
        <f t="shared" si="0"/>
        <v>2012</v>
      </c>
      <c r="F21" s="3">
        <v>48163</v>
      </c>
      <c r="G21" s="5">
        <v>12.5</v>
      </c>
      <c r="H21" s="5">
        <v>26629</v>
      </c>
      <c r="I21" s="5">
        <v>6.58</v>
      </c>
      <c r="J21" s="5">
        <v>23.4</v>
      </c>
      <c r="K21" s="5">
        <v>65.7</v>
      </c>
      <c r="L21" s="5">
        <v>186000</v>
      </c>
      <c r="M21" s="5">
        <v>34354</v>
      </c>
    </row>
    <row r="22" spans="5:13" ht="15.6" x14ac:dyDescent="0.3">
      <c r="E22" s="5">
        <f t="shared" si="0"/>
        <v>2013</v>
      </c>
      <c r="F22" s="3">
        <v>50208</v>
      </c>
      <c r="G22" s="5">
        <v>12.9</v>
      </c>
      <c r="H22" s="5">
        <v>29792</v>
      </c>
      <c r="I22" s="5">
        <v>6.45</v>
      </c>
      <c r="J22" s="5">
        <v>23.4</v>
      </c>
      <c r="K22" s="5">
        <v>70.5</v>
      </c>
      <c r="L22" s="5">
        <v>153000</v>
      </c>
      <c r="M22" s="5">
        <v>36439</v>
      </c>
    </row>
    <row r="23" spans="5:13" ht="15.6" x14ac:dyDescent="0.3">
      <c r="E23" s="5">
        <f t="shared" si="0"/>
        <v>2014</v>
      </c>
      <c r="F23" s="3">
        <v>51714</v>
      </c>
      <c r="G23" s="5">
        <v>12.7</v>
      </c>
      <c r="H23" s="5">
        <v>32495</v>
      </c>
      <c r="I23" s="5">
        <v>11.36</v>
      </c>
      <c r="J23" s="5">
        <v>23.7</v>
      </c>
      <c r="K23" s="5">
        <v>84.2</v>
      </c>
      <c r="L23" s="5">
        <v>138000</v>
      </c>
      <c r="M23" s="5">
        <v>39447</v>
      </c>
    </row>
    <row r="24" spans="5:13" ht="15.6" x14ac:dyDescent="0.3">
      <c r="E24" s="5">
        <f t="shared" si="0"/>
        <v>2015</v>
      </c>
      <c r="F24" s="3">
        <v>51530</v>
      </c>
      <c r="G24" s="5">
        <v>13.1</v>
      </c>
      <c r="H24" s="5">
        <v>34030</v>
      </c>
      <c r="I24" s="5">
        <v>12.91</v>
      </c>
      <c r="J24" s="5">
        <v>24.4</v>
      </c>
      <c r="K24" s="5">
        <v>85.3</v>
      </c>
      <c r="L24" s="5">
        <v>135000</v>
      </c>
      <c r="M24" s="5">
        <v>39258</v>
      </c>
    </row>
    <row r="25" spans="5:13" ht="15.6" x14ac:dyDescent="0.3">
      <c r="E25" s="5">
        <f t="shared" si="0"/>
        <v>2016</v>
      </c>
      <c r="F25" s="3">
        <v>53287</v>
      </c>
      <c r="G25" s="5">
        <v>13.92</v>
      </c>
      <c r="H25" s="5">
        <v>36709</v>
      </c>
      <c r="I25" s="5">
        <v>5.4</v>
      </c>
      <c r="J25" s="5">
        <v>24.9</v>
      </c>
      <c r="K25" s="5">
        <v>80.2</v>
      </c>
      <c r="L25" s="5">
        <v>129000</v>
      </c>
      <c r="M25" s="5">
        <v>40890</v>
      </c>
    </row>
    <row r="26" spans="5:13" ht="15.6" x14ac:dyDescent="0.3">
      <c r="E26" s="5">
        <f t="shared" si="0"/>
        <v>2017</v>
      </c>
      <c r="F26" s="3">
        <v>56882</v>
      </c>
      <c r="G26" s="5">
        <v>11.7</v>
      </c>
      <c r="H26" s="5">
        <v>39167</v>
      </c>
      <c r="I26" s="5">
        <v>2.5</v>
      </c>
      <c r="J26" s="5">
        <v>25.2</v>
      </c>
      <c r="K26" s="5">
        <v>79.2</v>
      </c>
      <c r="L26" s="5">
        <v>123000</v>
      </c>
      <c r="M26" s="5">
        <v>41459</v>
      </c>
    </row>
    <row r="27" spans="5:13" ht="15.6" x14ac:dyDescent="0.3">
      <c r="E27" s="5">
        <f t="shared" si="0"/>
        <v>2018</v>
      </c>
      <c r="F27" s="3">
        <v>61832</v>
      </c>
      <c r="G27" s="5">
        <v>9.42</v>
      </c>
      <c r="H27" s="5">
        <v>42550</v>
      </c>
      <c r="I27" s="5">
        <v>4.3</v>
      </c>
      <c r="J27" s="5">
        <v>25.8</v>
      </c>
      <c r="K27" s="5">
        <v>75.7</v>
      </c>
      <c r="L27" s="5">
        <v>99000</v>
      </c>
      <c r="M27" s="5">
        <v>41358</v>
      </c>
    </row>
    <row r="28" spans="5:13" ht="15.6" x14ac:dyDescent="0.3">
      <c r="E28" s="5">
        <f t="shared" si="0"/>
        <v>2019</v>
      </c>
      <c r="F28" s="3">
        <v>64059</v>
      </c>
      <c r="G28" s="5">
        <v>9</v>
      </c>
      <c r="H28" s="5">
        <v>47657</v>
      </c>
      <c r="I28" s="5">
        <v>3</v>
      </c>
      <c r="J28" s="5">
        <v>26.3</v>
      </c>
      <c r="K28" s="6">
        <v>82</v>
      </c>
      <c r="L28" s="5">
        <v>106000</v>
      </c>
      <c r="M28" s="6">
        <v>42551</v>
      </c>
    </row>
    <row r="29" spans="5:13" ht="15.6" x14ac:dyDescent="0.3">
      <c r="E29" s="5">
        <f t="shared" si="0"/>
        <v>2020</v>
      </c>
      <c r="F29" s="3">
        <v>79003</v>
      </c>
      <c r="G29" s="5">
        <v>7</v>
      </c>
      <c r="H29" s="5">
        <v>35361</v>
      </c>
      <c r="I29" s="5">
        <v>4.9000000000000004</v>
      </c>
      <c r="J29" s="5">
        <v>26.9</v>
      </c>
      <c r="K29" s="6">
        <v>82.2</v>
      </c>
      <c r="L29" s="5">
        <v>98000</v>
      </c>
      <c r="M29" s="6">
        <v>44518</v>
      </c>
    </row>
    <row r="30" spans="5:13" ht="15.6" x14ac:dyDescent="0.3">
      <c r="E30" s="5">
        <f t="shared" si="0"/>
        <v>2021</v>
      </c>
      <c r="F30" s="3">
        <v>98909</v>
      </c>
      <c r="G30" s="5">
        <v>8.1999999999999993</v>
      </c>
      <c r="H30" s="5">
        <v>53125</v>
      </c>
      <c r="I30" s="5">
        <v>8.39</v>
      </c>
      <c r="J30" s="5">
        <v>27.8</v>
      </c>
      <c r="K30" s="7">
        <v>80.3</v>
      </c>
      <c r="L30" s="5">
        <v>105000</v>
      </c>
      <c r="M30" s="7">
        <v>49199.729539273321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2023-03-07T09:24:43Z</dcterms:modified>
</cp:coreProperties>
</file>